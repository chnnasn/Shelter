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  <xf numFmtId="0" fontId="1" fillId="2" borderId="0" xfId="0" applyFont="1" applyFill="1" applyAlignment="1"/>
    <xf numFmtId="176" fontId="1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L5" sqref="L5"/>
    </sheetView>
  </sheetViews>
  <sheetFormatPr defaultColWidth="9.02654867256637" defaultRowHeight="13.5"/>
  <sheetData>
    <row r="1" spans="1:9">
      <c r="A1" s="1">
        <v>1</v>
      </c>
      <c r="B1" s="1">
        <v>1</v>
      </c>
      <c r="C1" s="1">
        <f ca="1">B1*$E$1*$E$4+50</f>
        <v>58</v>
      </c>
      <c r="D1" s="2">
        <f ca="1">B1*C1*A1*$E$4/0.7</f>
        <v>66.2857142857143</v>
      </c>
      <c r="E1" s="2">
        <f ca="1" t="shared" ref="E1:E29" si="0">D1*0.8</f>
        <v>53.0285714285714</v>
      </c>
      <c r="F1" s="2">
        <f ca="1" t="shared" ref="F1:F29" si="1">D1*0.2</f>
        <v>13.2571428571429</v>
      </c>
      <c r="G1" s="1">
        <v>2</v>
      </c>
      <c r="H1" s="2">
        <f ca="1" t="shared" ref="H1:H29" si="2">300/C1</f>
        <v>5.17241379310345</v>
      </c>
      <c r="I1" s="2">
        <f ca="1">H1*200</f>
        <v>1034.48275862069</v>
      </c>
    </row>
    <row r="2" spans="1:9">
      <c r="A2" s="1">
        <v>2</v>
      </c>
      <c r="B2" s="1">
        <v>2</v>
      </c>
      <c r="C2" s="1">
        <f ca="1">B2*$E$1*$E$4+50</f>
        <v>66</v>
      </c>
      <c r="D2" s="2">
        <f ca="1">B2*C2*A2*$E$4/0.7</f>
        <v>301.714285714286</v>
      </c>
      <c r="E2" s="2">
        <f ca="1" t="shared" si="0"/>
        <v>241.371428571429</v>
      </c>
      <c r="F2" s="2">
        <f ca="1" t="shared" si="1"/>
        <v>60.3428571428572</v>
      </c>
      <c r="G2" s="1">
        <v>2</v>
      </c>
      <c r="H2" s="2">
        <f ca="1" t="shared" si="2"/>
        <v>4.54545454545455</v>
      </c>
      <c r="I2" s="2">
        <f ca="1">SUM(H1:H2)*$R$3</f>
        <v>1943.5736677116</v>
      </c>
    </row>
    <row r="3" spans="1:9">
      <c r="A3" s="1">
        <v>3</v>
      </c>
      <c r="B3" s="1">
        <v>3</v>
      </c>
      <c r="C3" s="1">
        <f ca="1">B3*$E$1*$E$4+50</f>
        <v>74</v>
      </c>
      <c r="D3" s="2">
        <f ca="1">B3*C3*A3*$E$4/0.7</f>
        <v>761.142857142857</v>
      </c>
      <c r="E3" s="2">
        <f ca="1" t="shared" si="0"/>
        <v>608.914285714286</v>
      </c>
      <c r="F3" s="2">
        <f ca="1" t="shared" si="1"/>
        <v>152.228571428571</v>
      </c>
      <c r="G3" s="1">
        <v>2</v>
      </c>
      <c r="H3" s="2">
        <f ca="1" t="shared" si="2"/>
        <v>4.05405405405405</v>
      </c>
      <c r="I3" s="2">
        <f ca="1">SUM(H1:H3)*$R$3</f>
        <v>2754.38447852241</v>
      </c>
    </row>
    <row r="4" spans="1:9">
      <c r="A4" s="1">
        <v>4</v>
      </c>
      <c r="B4" s="1">
        <v>4</v>
      </c>
      <c r="C4" s="1">
        <f ca="1">B4*$E$1*$E$4+50</f>
        <v>82</v>
      </c>
      <c r="D4" s="2">
        <f ca="1">B4*C4*A4*$E$4/0.7</f>
        <v>1499.42857142857</v>
      </c>
      <c r="E4" s="2">
        <f ca="1" t="shared" si="0"/>
        <v>1199.54285714286</v>
      </c>
      <c r="F4" s="2">
        <f ca="1" t="shared" si="1"/>
        <v>299.885714285714</v>
      </c>
      <c r="G4" s="1">
        <v>2</v>
      </c>
      <c r="H4" s="2">
        <f ca="1" t="shared" si="2"/>
        <v>3.65853658536585</v>
      </c>
      <c r="I4" s="2">
        <f ca="1">SUM(H1:H4)*$R$3</f>
        <v>3486.09179559558</v>
      </c>
    </row>
    <row r="5" spans="1:9">
      <c r="A5" s="1">
        <v>5</v>
      </c>
      <c r="B5" s="1">
        <v>5</v>
      </c>
      <c r="C5" s="1">
        <f ca="1">B5*$E$1*$E$4+50</f>
        <v>90</v>
      </c>
      <c r="D5" s="2">
        <f ca="1">B5*C5*A5*$E$4/0.7</f>
        <v>2571.42857142857</v>
      </c>
      <c r="E5" s="2">
        <f ca="1" t="shared" si="0"/>
        <v>2057.14285714286</v>
      </c>
      <c r="F5" s="2">
        <f ca="1" t="shared" si="1"/>
        <v>514.285714285714</v>
      </c>
      <c r="G5" s="1">
        <v>2</v>
      </c>
      <c r="H5" s="2">
        <f ca="1" t="shared" si="2"/>
        <v>3.33333333333333</v>
      </c>
      <c r="I5" s="2">
        <f ca="1">SUM(H1:H5)*$R$3</f>
        <v>4152.75846226225</v>
      </c>
    </row>
    <row r="6" spans="1:9">
      <c r="A6" s="1">
        <v>6</v>
      </c>
      <c r="B6" s="1">
        <v>6</v>
      </c>
      <c r="C6" s="1">
        <f ca="1">B6*$E$1*$E$4+50</f>
        <v>98</v>
      </c>
      <c r="D6" s="2">
        <f ca="1">B6*C6*A6*$E$4/0.7</f>
        <v>4032</v>
      </c>
      <c r="E6" s="2">
        <f ca="1" t="shared" si="0"/>
        <v>3225.6</v>
      </c>
      <c r="F6" s="2">
        <f ca="1" t="shared" si="1"/>
        <v>806.4</v>
      </c>
      <c r="G6" s="1">
        <v>2</v>
      </c>
      <c r="H6" s="2">
        <f ca="1" t="shared" si="2"/>
        <v>3.06122448979592</v>
      </c>
      <c r="I6" s="2">
        <f ca="1">SUM(H1:H6)*$R$3</f>
        <v>4765.00336022143</v>
      </c>
    </row>
    <row r="7" spans="1:9">
      <c r="A7" s="1">
        <v>7</v>
      </c>
      <c r="B7" s="1">
        <v>7</v>
      </c>
      <c r="C7" s="1">
        <f ca="1">B7*$E$1*$E$4+50</f>
        <v>106</v>
      </c>
      <c r="D7" s="2">
        <f ca="1">B7*C7*A7*$E$4/0.7</f>
        <v>5936</v>
      </c>
      <c r="E7" s="2">
        <f ca="1" t="shared" si="0"/>
        <v>4748.8</v>
      </c>
      <c r="F7" s="2">
        <f ca="1" t="shared" si="1"/>
        <v>1187.2</v>
      </c>
      <c r="G7" s="1">
        <v>2</v>
      </c>
      <c r="H7" s="2">
        <f ca="1" t="shared" si="2"/>
        <v>2.83018867924528</v>
      </c>
      <c r="I7" s="2">
        <f ca="1">SUM(H1:H7)*$R$3</f>
        <v>5331.04109607049</v>
      </c>
    </row>
    <row r="8" spans="1:9">
      <c r="A8" s="3">
        <v>8</v>
      </c>
      <c r="B8" s="3">
        <v>8</v>
      </c>
      <c r="C8" s="3">
        <f ca="1">B8*$E$1*$E$4+50</f>
        <v>114</v>
      </c>
      <c r="D8" s="4">
        <f ca="1">B8*C8*A8*$E$4/0.7</f>
        <v>8338.28571428572</v>
      </c>
      <c r="E8" s="4">
        <f ca="1" t="shared" si="0"/>
        <v>6670.62857142857</v>
      </c>
      <c r="F8" s="4">
        <f ca="1" t="shared" si="1"/>
        <v>1667.65714285714</v>
      </c>
      <c r="G8" s="3">
        <v>2</v>
      </c>
      <c r="H8" s="4">
        <f ca="1" t="shared" si="2"/>
        <v>2.63157894736842</v>
      </c>
      <c r="I8" s="4">
        <f ca="1">SUM(H1:H8)*$R$3</f>
        <v>5857.35688554417</v>
      </c>
    </row>
    <row r="9" spans="1:9">
      <c r="A9" s="1">
        <v>9</v>
      </c>
      <c r="B9" s="1">
        <v>29</v>
      </c>
      <c r="C9" s="1">
        <f ca="1">B9*$E$1*$E$4+50</f>
        <v>282</v>
      </c>
      <c r="D9" s="2">
        <v>83338</v>
      </c>
      <c r="E9" s="2">
        <f t="shared" si="0"/>
        <v>66670.4</v>
      </c>
      <c r="F9" s="2">
        <f t="shared" si="1"/>
        <v>16667.6</v>
      </c>
      <c r="G9" s="1">
        <v>30</v>
      </c>
      <c r="H9" s="2">
        <f ca="1" t="shared" si="2"/>
        <v>1.06382978723404</v>
      </c>
      <c r="I9" s="1">
        <f t="shared" ref="I9:I29" si="3">G9*200</f>
        <v>6000</v>
      </c>
    </row>
    <row r="10" spans="1:9">
      <c r="A10" s="1">
        <v>10</v>
      </c>
      <c r="B10" s="1">
        <v>29</v>
      </c>
      <c r="C10" s="1">
        <f ca="1">B10*$E$1*$E$4+50</f>
        <v>282</v>
      </c>
      <c r="D10" s="2">
        <f ca="1">B10*C10*A10*$E$4/0.7</f>
        <v>93462.8571428571</v>
      </c>
      <c r="E10" s="2">
        <f ca="1" t="shared" si="0"/>
        <v>74770.2857142857</v>
      </c>
      <c r="F10" s="2">
        <f ca="1" t="shared" si="1"/>
        <v>18692.5714285714</v>
      </c>
      <c r="G10" s="1">
        <v>31</v>
      </c>
      <c r="H10" s="2">
        <f ca="1" t="shared" si="2"/>
        <v>1.06382978723404</v>
      </c>
      <c r="I10" s="1">
        <f t="shared" si="3"/>
        <v>6200</v>
      </c>
    </row>
    <row r="11" spans="1:9">
      <c r="A11" s="1">
        <v>11</v>
      </c>
      <c r="B11" s="1">
        <v>29</v>
      </c>
      <c r="C11" s="1">
        <f ca="1">B11*$E$1*$E$4+50</f>
        <v>282</v>
      </c>
      <c r="D11" s="2">
        <f ca="1">B11*C11*A11*$E$4/0.7</f>
        <v>102809.142857143</v>
      </c>
      <c r="E11" s="2">
        <f ca="1" t="shared" si="0"/>
        <v>82247.3142857143</v>
      </c>
      <c r="F11" s="2">
        <f ca="1" t="shared" si="1"/>
        <v>20561.8285714286</v>
      </c>
      <c r="G11" s="1">
        <v>32</v>
      </c>
      <c r="H11" s="2">
        <f ca="1" t="shared" si="2"/>
        <v>1.06382978723404</v>
      </c>
      <c r="I11" s="1">
        <f t="shared" si="3"/>
        <v>6400</v>
      </c>
    </row>
    <row r="12" spans="1:9">
      <c r="A12" s="1">
        <v>12</v>
      </c>
      <c r="B12" s="1">
        <v>29</v>
      </c>
      <c r="C12" s="1">
        <f ca="1">B12*$E$1*$E$4+50</f>
        <v>282</v>
      </c>
      <c r="D12" s="2">
        <f ca="1">B12*C12*A12*$E$4/0.7</f>
        <v>112155.428571429</v>
      </c>
      <c r="E12" s="2">
        <f ca="1" t="shared" si="0"/>
        <v>89724.3428571429</v>
      </c>
      <c r="F12" s="2">
        <f ca="1" t="shared" si="1"/>
        <v>22431.0857142857</v>
      </c>
      <c r="G12" s="1">
        <v>33</v>
      </c>
      <c r="H12" s="2">
        <f ca="1" t="shared" si="2"/>
        <v>1.06382978723404</v>
      </c>
      <c r="I12" s="1">
        <f t="shared" si="3"/>
        <v>6600</v>
      </c>
    </row>
    <row r="13" spans="1:9">
      <c r="A13" s="1">
        <v>13</v>
      </c>
      <c r="B13" s="1">
        <v>29</v>
      </c>
      <c r="C13" s="1">
        <f ca="1">B13*$E$1*$E$4+50</f>
        <v>282</v>
      </c>
      <c r="D13" s="2">
        <f ca="1">B13*C13*A13*$E$4/0.7</f>
        <v>121501.714285714</v>
      </c>
      <c r="E13" s="2">
        <f ca="1" t="shared" si="0"/>
        <v>97201.3714285715</v>
      </c>
      <c r="F13" s="2">
        <f ca="1" t="shared" si="1"/>
        <v>24300.3428571429</v>
      </c>
      <c r="G13" s="1">
        <v>34</v>
      </c>
      <c r="H13" s="2">
        <f ca="1" t="shared" si="2"/>
        <v>1.06382978723404</v>
      </c>
      <c r="I13" s="1">
        <f t="shared" si="3"/>
        <v>6800</v>
      </c>
    </row>
    <row r="14" spans="1:9">
      <c r="A14" s="1">
        <v>14</v>
      </c>
      <c r="B14" s="1">
        <v>29</v>
      </c>
      <c r="C14" s="1">
        <f ca="1">B14*$E$1*$E$4+50</f>
        <v>282</v>
      </c>
      <c r="D14" s="2">
        <f ca="1">B14*C14*A14*$E$4/0.7</f>
        <v>130848</v>
      </c>
      <c r="E14" s="2">
        <f ca="1" t="shared" si="0"/>
        <v>104678.4</v>
      </c>
      <c r="F14" s="2">
        <f ca="1" t="shared" si="1"/>
        <v>26169.6</v>
      </c>
      <c r="G14" s="1">
        <v>35</v>
      </c>
      <c r="H14" s="2">
        <f ca="1" t="shared" si="2"/>
        <v>1.06382978723404</v>
      </c>
      <c r="I14" s="1">
        <f t="shared" si="3"/>
        <v>7000</v>
      </c>
    </row>
    <row r="15" spans="1:9">
      <c r="A15" s="1">
        <v>15</v>
      </c>
      <c r="B15" s="1">
        <v>29</v>
      </c>
      <c r="C15" s="1">
        <f ca="1">B15*$E$1*$E$4+50</f>
        <v>282</v>
      </c>
      <c r="D15" s="2">
        <f ca="1">B15*C15*A15*$E$4/0.7</f>
        <v>140194.285714286</v>
      </c>
      <c r="E15" s="2">
        <f ca="1" t="shared" si="0"/>
        <v>112155.428571429</v>
      </c>
      <c r="F15" s="2">
        <f ca="1" t="shared" si="1"/>
        <v>28038.8571428571</v>
      </c>
      <c r="G15" s="1">
        <v>36</v>
      </c>
      <c r="H15" s="2">
        <f ca="1" t="shared" si="2"/>
        <v>1.06382978723404</v>
      </c>
      <c r="I15" s="1">
        <f t="shared" si="3"/>
        <v>7200</v>
      </c>
    </row>
    <row r="16" spans="1:9">
      <c r="A16" s="1">
        <v>16</v>
      </c>
      <c r="B16" s="1">
        <v>29</v>
      </c>
      <c r="C16" s="1">
        <f ca="1">B16*$E$1*$E$4+50</f>
        <v>282</v>
      </c>
      <c r="D16" s="2">
        <f ca="1">B16*C16*A16*$E$4/0.7</f>
        <v>149540.571428571</v>
      </c>
      <c r="E16" s="2">
        <f ca="1" t="shared" si="0"/>
        <v>119632.457142857</v>
      </c>
      <c r="F16" s="2">
        <f ca="1" t="shared" si="1"/>
        <v>29908.1142857143</v>
      </c>
      <c r="G16" s="1">
        <v>37</v>
      </c>
      <c r="H16" s="2">
        <f ca="1" t="shared" si="2"/>
        <v>1.06382978723404</v>
      </c>
      <c r="I16" s="1">
        <f t="shared" si="3"/>
        <v>7400</v>
      </c>
    </row>
    <row r="17" spans="1:9">
      <c r="A17" s="1">
        <v>17</v>
      </c>
      <c r="B17" s="1">
        <v>29</v>
      </c>
      <c r="C17" s="1">
        <f ca="1">B17*$E$1*$E$4+50</f>
        <v>282</v>
      </c>
      <c r="D17" s="2">
        <f ca="1">B17*C17*A17*$E$4/0.7</f>
        <v>158886.857142857</v>
      </c>
      <c r="E17" s="2">
        <f ca="1" t="shared" si="0"/>
        <v>127109.485714286</v>
      </c>
      <c r="F17" s="2">
        <f ca="1" t="shared" si="1"/>
        <v>31777.3714285714</v>
      </c>
      <c r="G17" s="1">
        <v>38</v>
      </c>
      <c r="H17" s="2">
        <f ca="1" t="shared" si="2"/>
        <v>1.06382978723404</v>
      </c>
      <c r="I17" s="1">
        <f t="shared" si="3"/>
        <v>7600</v>
      </c>
    </row>
    <row r="18" spans="1:9">
      <c r="A18" s="1">
        <v>18</v>
      </c>
      <c r="B18" s="1">
        <v>29</v>
      </c>
      <c r="C18" s="1">
        <f ca="1">B18*$E$1*$E$4+50</f>
        <v>282</v>
      </c>
      <c r="D18" s="2">
        <f ca="1">B18*C18*A18*$E$4/0.7</f>
        <v>168233.142857143</v>
      </c>
      <c r="E18" s="2">
        <f ca="1" t="shared" si="0"/>
        <v>134586.514285714</v>
      </c>
      <c r="F18" s="2">
        <f ca="1" t="shared" si="1"/>
        <v>33646.6285714286</v>
      </c>
      <c r="G18" s="1">
        <v>39</v>
      </c>
      <c r="H18" s="2">
        <f ca="1" t="shared" si="2"/>
        <v>1.06382978723404</v>
      </c>
      <c r="I18" s="1">
        <f t="shared" si="3"/>
        <v>7800</v>
      </c>
    </row>
    <row r="19" spans="1:9">
      <c r="A19" s="1">
        <v>19</v>
      </c>
      <c r="B19" s="1">
        <v>29</v>
      </c>
      <c r="C19" s="1">
        <f ca="1">B19*$E$1*$E$4+50</f>
        <v>282</v>
      </c>
      <c r="D19" s="2">
        <f ca="1">B19*C19*A19*$E$4/0.7</f>
        <v>177579.428571429</v>
      </c>
      <c r="E19" s="2">
        <f ca="1" t="shared" si="0"/>
        <v>142063.542857143</v>
      </c>
      <c r="F19" s="2">
        <f ca="1" t="shared" si="1"/>
        <v>35515.8857142857</v>
      </c>
      <c r="G19" s="1">
        <v>40</v>
      </c>
      <c r="H19" s="2">
        <f ca="1" t="shared" si="2"/>
        <v>1.06382978723404</v>
      </c>
      <c r="I19" s="1">
        <f t="shared" si="3"/>
        <v>8000</v>
      </c>
    </row>
    <row r="20" spans="1:9">
      <c r="A20" s="1">
        <v>20</v>
      </c>
      <c r="B20" s="1">
        <v>29</v>
      </c>
      <c r="C20" s="1">
        <f ca="1">B20*$E$1*$E$4+50</f>
        <v>282</v>
      </c>
      <c r="D20" s="2">
        <f ca="1">B20*C20*A20*$E$4/0.7</f>
        <v>186925.714285714</v>
      </c>
      <c r="E20" s="2">
        <f ca="1" t="shared" si="0"/>
        <v>149540.571428571</v>
      </c>
      <c r="F20" s="2">
        <f ca="1" t="shared" si="1"/>
        <v>37385.1428571429</v>
      </c>
      <c r="G20" s="1">
        <v>41</v>
      </c>
      <c r="H20" s="2">
        <f ca="1" t="shared" si="2"/>
        <v>1.06382978723404</v>
      </c>
      <c r="I20" s="1">
        <f t="shared" si="3"/>
        <v>8200</v>
      </c>
    </row>
    <row r="21" spans="1:9">
      <c r="A21" s="1">
        <v>21</v>
      </c>
      <c r="B21" s="1">
        <v>29</v>
      </c>
      <c r="C21" s="1">
        <f ca="1">B21*$E$1*$E$4+50</f>
        <v>282</v>
      </c>
      <c r="D21" s="2">
        <f ca="1">B21*C21*A21*$E$4/0.7</f>
        <v>196272</v>
      </c>
      <c r="E21" s="2">
        <f ca="1" t="shared" si="0"/>
        <v>157017.6</v>
      </c>
      <c r="F21" s="2">
        <f ca="1" t="shared" si="1"/>
        <v>39254.4</v>
      </c>
      <c r="G21" s="1">
        <v>42</v>
      </c>
      <c r="H21" s="2">
        <f ca="1" t="shared" si="2"/>
        <v>1.06382978723404</v>
      </c>
      <c r="I21" s="1">
        <f t="shared" si="3"/>
        <v>8400</v>
      </c>
    </row>
    <row r="22" spans="1:9">
      <c r="A22" s="1">
        <v>22</v>
      </c>
      <c r="B22" s="1">
        <v>29</v>
      </c>
      <c r="C22" s="1">
        <f ca="1">B22*$E$1*$E$4+50</f>
        <v>282</v>
      </c>
      <c r="D22" s="2">
        <f ca="1">B22*C22*A22*$E$4/0.7</f>
        <v>205618.285714286</v>
      </c>
      <c r="E22" s="2">
        <f ca="1" t="shared" si="0"/>
        <v>164494.628571429</v>
      </c>
      <c r="F22" s="2">
        <f ca="1" t="shared" si="1"/>
        <v>41123.6571428571</v>
      </c>
      <c r="G22" s="1">
        <v>43</v>
      </c>
      <c r="H22" s="2">
        <f ca="1" t="shared" si="2"/>
        <v>1.06382978723404</v>
      </c>
      <c r="I22" s="1">
        <f t="shared" si="3"/>
        <v>8600</v>
      </c>
    </row>
    <row r="23" spans="1:9">
      <c r="A23" s="1">
        <v>23</v>
      </c>
      <c r="B23" s="1">
        <v>29</v>
      </c>
      <c r="C23" s="1">
        <f ca="1">B23*$E$1*$E$4+50</f>
        <v>282</v>
      </c>
      <c r="D23" s="2">
        <f ca="1">B23*C23*A23*$E$4/0.7</f>
        <v>214964.571428571</v>
      </c>
      <c r="E23" s="2">
        <f ca="1" t="shared" si="0"/>
        <v>171971.657142857</v>
      </c>
      <c r="F23" s="2">
        <f ca="1" t="shared" si="1"/>
        <v>42992.9142857143</v>
      </c>
      <c r="G23" s="1">
        <v>44</v>
      </c>
      <c r="H23" s="2">
        <f ca="1" t="shared" si="2"/>
        <v>1.06382978723404</v>
      </c>
      <c r="I23" s="1">
        <f t="shared" si="3"/>
        <v>8800</v>
      </c>
    </row>
    <row r="24" spans="1:9">
      <c r="A24" s="1">
        <v>24</v>
      </c>
      <c r="B24" s="1">
        <v>29</v>
      </c>
      <c r="C24" s="1">
        <f ca="1">B24*$E$1*$E$4+50</f>
        <v>282</v>
      </c>
      <c r="D24" s="2">
        <f ca="1">B24*C24*A24*$E$4/0.7</f>
        <v>224310.857142857</v>
      </c>
      <c r="E24" s="2">
        <f ca="1" t="shared" si="0"/>
        <v>179448.685714286</v>
      </c>
      <c r="F24" s="2">
        <f ca="1" t="shared" si="1"/>
        <v>44862.1714285714</v>
      </c>
      <c r="G24" s="1">
        <v>45</v>
      </c>
      <c r="H24" s="2">
        <f ca="1" t="shared" si="2"/>
        <v>1.06382978723404</v>
      </c>
      <c r="I24" s="1">
        <f t="shared" si="3"/>
        <v>9000</v>
      </c>
    </row>
    <row r="25" spans="1:9">
      <c r="A25" s="1">
        <v>25</v>
      </c>
      <c r="B25" s="1">
        <v>29</v>
      </c>
      <c r="C25" s="1">
        <f ca="1">B25*$E$1*$E$4+50</f>
        <v>282</v>
      </c>
      <c r="D25" s="2">
        <f ca="1">B25*C25*A25*$E$4/0.7</f>
        <v>233657.142857143</v>
      </c>
      <c r="E25" s="2">
        <f ca="1" t="shared" si="0"/>
        <v>186925.714285714</v>
      </c>
      <c r="F25" s="2">
        <f ca="1" t="shared" si="1"/>
        <v>46731.4285714286</v>
      </c>
      <c r="G25" s="1">
        <v>46</v>
      </c>
      <c r="H25" s="2">
        <f ca="1" t="shared" si="2"/>
        <v>1.06382978723404</v>
      </c>
      <c r="I25" s="1">
        <f t="shared" si="3"/>
        <v>9200</v>
      </c>
    </row>
    <row r="26" spans="1:9">
      <c r="A26" s="1">
        <v>26</v>
      </c>
      <c r="B26" s="1">
        <v>29</v>
      </c>
      <c r="C26" s="1">
        <f ca="1">B26*$E$1*$E$4+50</f>
        <v>282</v>
      </c>
      <c r="D26" s="2">
        <f ca="1">B26*C26*A26*$E$4/0.7</f>
        <v>243003.428571429</v>
      </c>
      <c r="E26" s="2">
        <f ca="1" t="shared" si="0"/>
        <v>194402.742857143</v>
      </c>
      <c r="F26" s="2">
        <f ca="1" t="shared" si="1"/>
        <v>48600.6857142857</v>
      </c>
      <c r="G26" s="1">
        <v>47</v>
      </c>
      <c r="H26" s="2">
        <f ca="1" t="shared" si="2"/>
        <v>1.06382978723404</v>
      </c>
      <c r="I26" s="1">
        <f t="shared" si="3"/>
        <v>9400</v>
      </c>
    </row>
    <row r="27" spans="1:9">
      <c r="A27" s="1">
        <v>27</v>
      </c>
      <c r="B27" s="1">
        <v>29</v>
      </c>
      <c r="C27" s="1">
        <f ca="1">B27*$E$1*$E$4+50</f>
        <v>282</v>
      </c>
      <c r="D27" s="2">
        <f ca="1">B27*C27*A27*$E$4/0.7</f>
        <v>252349.714285714</v>
      </c>
      <c r="E27" s="2">
        <f ca="1" t="shared" si="0"/>
        <v>201879.771428571</v>
      </c>
      <c r="F27" s="2">
        <f ca="1" t="shared" si="1"/>
        <v>50469.9428571429</v>
      </c>
      <c r="G27" s="1">
        <v>48</v>
      </c>
      <c r="H27" s="2">
        <f ca="1" t="shared" si="2"/>
        <v>1.06382978723404</v>
      </c>
      <c r="I27" s="1">
        <f t="shared" si="3"/>
        <v>9600</v>
      </c>
    </row>
    <row r="28" spans="1:9">
      <c r="A28" s="1">
        <v>28</v>
      </c>
      <c r="B28" s="1">
        <v>29</v>
      </c>
      <c r="C28" s="1">
        <f ca="1">B28*$E$1*$E$4+50</f>
        <v>282</v>
      </c>
      <c r="D28" s="2">
        <f ca="1">B28*C28*A28*$E$4/0.7</f>
        <v>261696</v>
      </c>
      <c r="E28" s="2">
        <f ca="1" t="shared" si="0"/>
        <v>209356.8</v>
      </c>
      <c r="F28" s="2">
        <f ca="1" t="shared" si="1"/>
        <v>52339.2</v>
      </c>
      <c r="G28" s="1">
        <v>49</v>
      </c>
      <c r="H28" s="2">
        <f ca="1" t="shared" si="2"/>
        <v>1.06382978723404</v>
      </c>
      <c r="I28" s="1">
        <f t="shared" si="3"/>
        <v>9800</v>
      </c>
    </row>
    <row r="29" spans="1:9">
      <c r="A29" s="1">
        <v>29</v>
      </c>
      <c r="B29" s="1">
        <v>29</v>
      </c>
      <c r="C29" s="1">
        <f ca="1">B29*$E$1*$E$4+50</f>
        <v>282</v>
      </c>
      <c r="D29" s="2">
        <f ca="1">B29*C29*A29*$E$4/0.7</f>
        <v>271042.285714286</v>
      </c>
      <c r="E29" s="2">
        <f ca="1" t="shared" si="0"/>
        <v>216833.828571429</v>
      </c>
      <c r="F29" s="2">
        <f ca="1" t="shared" si="1"/>
        <v>54208.4571428572</v>
      </c>
      <c r="G29" s="1">
        <v>50</v>
      </c>
      <c r="H29" s="2">
        <f ca="1" t="shared" si="2"/>
        <v>1.06382978723404</v>
      </c>
      <c r="I29" s="1">
        <f t="shared" si="3"/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23298</dc:creator>
  <cp:lastModifiedBy>　　　　　　　　</cp:lastModifiedBy>
  <dcterms:created xsi:type="dcterms:W3CDTF">2024-09-12T08:33:37Z</dcterms:created>
  <dcterms:modified xsi:type="dcterms:W3CDTF">2024-09-12T08:35:22Z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B34F5D68B2644C60ACE78461BEDEDF3B_11</vt:lpwstr>
  </property>
  <property fmtid="{D5CDD505-2E9C-101B-9397-08002B2CF9AE}" pid="3" name="KSOProductBuildVer">
    <vt:lpwstr>2052-12.1.0.18240</vt:lpwstr>
  </property>
</Properties>
</file>